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<sst xmlns="http://schemas.openxmlformats.org/spreadsheetml/2006/main" count="166" uniqueCount="75">
  <si>
    <t>序号</t>
  </si>
  <si>
    <t>物料编码</t>
  </si>
  <si>
    <t>名称</t>
  </si>
  <si>
    <t>规格</t>
  </si>
  <si>
    <t>单套用量</t>
  </si>
  <si>
    <t>单位</t>
  </si>
  <si>
    <t>总数量</t>
  </si>
  <si>
    <t>实发数</t>
  </si>
  <si>
    <t>产品线</t>
  </si>
  <si>
    <t>属性码</t>
  </si>
  <si>
    <t>优选等级</t>
  </si>
  <si>
    <t>禁空运</t>
  </si>
  <si>
    <t>备注</t>
  </si>
  <si>
    <t>大尺寸超高分辨率液晶模组讯号发生器GS033N-D(钣金，黑色细砂纹)</t>
  </si>
  <si>
    <t>GA033I</t>
  </si>
  <si>
    <t>PCS</t>
  </si>
  <si>
    <t>GET</t>
  </si>
  <si>
    <t>自研自制</t>
  </si>
  <si>
    <t>~</t>
  </si>
  <si>
    <t xml:space="preserve"> N</t>
  </si>
  <si>
    <t>8K分体式讯号适配器GA033I主体（钣金黑色细砂纹）</t>
  </si>
  <si>
    <t>启用</t>
  </si>
  <si>
    <t>8K分体式讯号适配器GA033I LVDS信号扩展套件（钣金，黑色细砂纹）</t>
  </si>
  <si>
    <t>8K分体式讯号适配器GA033I DP信号扩展套件（钣金，黑色细砂纹）</t>
  </si>
  <si>
    <t>8K分体式讯号适配器GA033I DP/HDMI信号扩展套件（钣金，黑色细砂纹）　</t>
  </si>
  <si>
    <t>GA033I　</t>
  </si>
  <si>
    <t xml:space="preserve">
      </t>
  </si>
  <si>
    <t>与其他物料分开，单独发货，发货地址待定</t>
  </si>
  <si>
    <t>TBD:2030100125</t>
  </si>
  <si>
    <t>程控电源盒EP322I主体（钣金,黑色细砂纹）</t>
  </si>
  <si>
    <t>1.支持2CHVBL电源输出;2.支持2CHON-OFF/VDIM/PWM等VBL背光调测IO输出；3.电源扩展性，可适配170VLEDDriver转板套件和200VLEDDri</t>
  </si>
  <si>
    <t>TBD:2040100096</t>
  </si>
  <si>
    <t>程控电源盒EP322ILED背光驱动板（200V）套件</t>
  </si>
  <si>
    <t>搭配2030100125EP322I主机使用，扩展支持2CHLEDDriver电源输出，200VVBLU版本</t>
  </si>
  <si>
    <t>GS033外部固定支架（黑色）</t>
  </si>
  <si>
    <t>GS033</t>
  </si>
  <si>
    <t>GA033外部固定支架（黑色，不锈钢）</t>
  </si>
  <si>
    <t>GA033</t>
  </si>
  <si>
    <t>TBD:2049800015</t>
  </si>
  <si>
    <t>EP322外部固定支架（黑色）</t>
  </si>
  <si>
    <t>程控电源盒EP322外部固定支架套件，包含支架和支架与PG之间的固定螺丝</t>
  </si>
  <si>
    <t>1200300126A</t>
  </si>
  <si>
    <t>电源线◆国标插头_P3-航插_P3-L2000</t>
  </si>
  <si>
    <t>耐温80℃</t>
  </si>
  <si>
    <t>委外制造</t>
  </si>
  <si>
    <t>A优选</t>
  </si>
  <si>
    <t>1140380349A</t>
  </si>
  <si>
    <t>六类屏蔽网线(多股绞合)◆RJ45_P8-RJ45_P8-L2000</t>
  </si>
  <si>
    <t>1200300185A</t>
  </si>
  <si>
    <t>VDD供电线(高温高湿)◆5557_P8-2_5557_P8-L2000</t>
  </si>
  <si>
    <t>高温高湿</t>
  </si>
  <si>
    <t>1200300183A</t>
  </si>
  <si>
    <t>SYSPWR(高温高湿)◆5557_P4-5557_P4-L2000</t>
  </si>
  <si>
    <t>19PIN 公对公 HDMI CABLE   外被标注为4K，五层屏蔽，2米</t>
  </si>
  <si>
    <t xml:space="preserve"> </t>
  </si>
  <si>
    <t>外购件</t>
  </si>
  <si>
    <t>B慎选</t>
  </si>
  <si>
    <t>1140301470A</t>
  </si>
  <si>
    <t>接地线◆RVS3.5-4-RVS3.5-5-L2000</t>
  </si>
  <si>
    <t>中电熊猫液(南京)品保Aging炉体 pg接地线，耐温105℃</t>
  </si>
  <si>
    <t>1200302871A</t>
  </si>
  <si>
    <t>直连屏蔽线◆RJ11_P4-RJ11_P4-L2000</t>
  </si>
  <si>
    <t>耐温80℃/直连线</t>
  </si>
  <si>
    <t>L临时</t>
  </si>
  <si>
    <t>TBD:1200300678A</t>
  </si>
  <si>
    <t>VBO信号线</t>
  </si>
  <si>
    <t>55DU信号线◆FI-RE51CL_P51-FI-RE51CL_P51-L1000</t>
  </si>
  <si>
    <t>TBD:1160100145</t>
  </si>
  <si>
    <t>接线板GN-216S</t>
  </si>
  <si>
    <t>10A250V5孔6位5.0米总控开关</t>
  </si>
  <si>
    <t>R-GET24003</t>
  </si>
  <si>
    <t>DSC压缩功能授权</t>
  </si>
  <si>
    <t>授权点位</t>
  </si>
  <si>
    <t>R-GET24004</t>
  </si>
  <si>
    <t>EDP8.1G授权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</si>
</sst>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1">
    <xf numFmtId="0" fontId="0" fillId="0" borderId="0" xfId="0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left" vertical="center" wrapText="1"/>
    </xf>
    <xf numFmtId="0" fontId="1" fillId="0" borderId="1" xfId="49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OM_6" xfId="49"/>
  </cellStyles>
  <dxfs count="2">
    <dxf>
      <fill>
        <patternFill patternType="solid">
          <bgColor theme="8" tint="0.79985961485641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topLeftCell="C1" workbookViewId="0">
      <selection activeCell="D11" sqref="D11"/>
    </sheetView>
  </sheetViews>
  <sheetFormatPr defaultColWidth="9" defaultRowHeight="15.5"/>
  <cols>
    <col min="1" max="1" width="3.91666666666667" customWidth="1"/>
    <col min="2" max="2" width="13.0833333333333" customWidth="1"/>
    <col min="3" max="3" width="53.9166666666667" customWidth="1"/>
    <col min="4" max="4" width="58.9166666666667" customWidth="1"/>
    <col min="5" max="5" width="7.25" customWidth="1"/>
    <col min="6" max="6" width="3.91666666666667" customWidth="1"/>
    <col min="7" max="9" width="5.58333333333333" customWidth="1"/>
    <col min="10" max="11" width="7.25" customWidth="1"/>
    <col min="12" max="12" width="5.58333333333333" customWidth="1"/>
    <col min="13" max="13" width="32.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10</v>
      </c>
      <c r="B2" s="4">
        <v>2030100097</v>
      </c>
      <c r="C2" s="5" t="s">
        <v>13</v>
      </c>
      <c r="D2" s="5" t="s">
        <v>14</v>
      </c>
      <c r="E2" s="4">
        <v>1</v>
      </c>
      <c r="F2" s="6" t="s">
        <v>15</v>
      </c>
      <c r="G2" s="4">
        <v>1</v>
      </c>
      <c r="H2" s="1"/>
      <c r="I2" s="1" t="s">
        <v>16</v>
      </c>
      <c r="J2" s="5" t="s">
        <v>17</v>
      </c>
      <c r="K2" s="5" t="s">
        <v>18</v>
      </c>
      <c r="L2" s="5" t="s">
        <v>19</v>
      </c>
      <c r="M2" s="7"/>
    </row>
    <row r="3" spans="1:13">
      <c r="A3" s="3">
        <f t="shared" ref="A3:A23" si="0">SUM(A2,10)</f>
        <v>20</v>
      </c>
      <c r="B3" s="4">
        <v>2040100089</v>
      </c>
      <c r="C3" s="5" t="s">
        <v>20</v>
      </c>
      <c r="D3" s="5" t="s">
        <v>14</v>
      </c>
      <c r="E3" s="4">
        <v>2</v>
      </c>
      <c r="F3" s="6" t="s">
        <v>15</v>
      </c>
      <c r="G3" s="4">
        <v>2</v>
      </c>
      <c r="H3" s="1"/>
      <c r="I3" s="1" t="s">
        <v>16</v>
      </c>
      <c r="J3" s="5" t="s">
        <v>18</v>
      </c>
      <c r="K3" s="5" t="s">
        <v>21</v>
      </c>
      <c r="L3" s="5" t="s">
        <v>19</v>
      </c>
      <c r="M3" s="8"/>
    </row>
    <row r="4" spans="1:13">
      <c r="A4" s="3">
        <f t="shared" si="0"/>
        <v>30</v>
      </c>
      <c r="B4" s="4">
        <v>2040100103</v>
      </c>
      <c r="C4" s="5" t="s">
        <v>22</v>
      </c>
      <c r="D4" s="5" t="s">
        <v>14</v>
      </c>
      <c r="E4" s="4">
        <v>2</v>
      </c>
      <c r="F4" s="6" t="s">
        <v>15</v>
      </c>
      <c r="G4" s="4">
        <v>2</v>
      </c>
      <c r="H4" s="1"/>
      <c r="I4" s="1" t="s">
        <v>16</v>
      </c>
      <c r="J4" s="5" t="s">
        <v>18</v>
      </c>
      <c r="K4" s="5" t="s">
        <v>18</v>
      </c>
      <c r="L4" s="5" t="s">
        <v>19</v>
      </c>
      <c r="M4" s="8"/>
    </row>
    <row r="5" spans="1:13">
      <c r="A5" s="3">
        <f t="shared" si="0"/>
        <v>40</v>
      </c>
      <c r="B5" s="4">
        <v>2040100102</v>
      </c>
      <c r="C5" s="5" t="s">
        <v>23</v>
      </c>
      <c r="D5" s="5" t="s">
        <v>14</v>
      </c>
      <c r="E5" s="4">
        <v>2</v>
      </c>
      <c r="F5" s="6" t="s">
        <v>15</v>
      </c>
      <c r="G5" s="4">
        <v>2</v>
      </c>
      <c r="H5" s="1"/>
      <c r="I5" s="1" t="s">
        <v>16</v>
      </c>
      <c r="J5" s="5" t="s">
        <v>18</v>
      </c>
      <c r="K5" s="5" t="s">
        <v>18</v>
      </c>
      <c r="L5" s="5" t="s">
        <v>19</v>
      </c>
      <c r="M5" s="8"/>
    </row>
    <row r="6" ht="26" spans="1:13">
      <c r="A6" s="3">
        <f t="shared" si="0"/>
        <v>50</v>
      </c>
      <c r="B6" s="4">
        <v>2040100098</v>
      </c>
      <c r="C6" s="5" t="s">
        <v>24</v>
      </c>
      <c r="D6" s="5" t="s">
        <v>25</v>
      </c>
      <c r="E6" s="4">
        <v>1</v>
      </c>
      <c r="F6" s="6" t="s">
        <v>15</v>
      </c>
      <c r="G6" s="4">
        <v>1</v>
      </c>
      <c r="H6" s="1"/>
      <c r="I6" s="1" t="s">
        <v>16</v>
      </c>
      <c r="J6" s="5" t="s">
        <v>26</v>
      </c>
      <c r="K6" s="5" t="s">
        <v>18</v>
      </c>
      <c r="L6" s="5" t="s">
        <v>19</v>
      </c>
      <c r="M6" s="9" t="s">
        <v>27</v>
      </c>
    </row>
    <row r="7" spans="1:13">
      <c r="A7" s="3">
        <f t="shared" si="0"/>
        <v>60</v>
      </c>
      <c r="B7" s="4">
        <v>2040100103</v>
      </c>
      <c r="C7" s="5" t="s">
        <v>22</v>
      </c>
      <c r="D7" s="5" t="s">
        <v>14</v>
      </c>
      <c r="E7" s="4">
        <v>1</v>
      </c>
      <c r="F7" s="6" t="s">
        <v>15</v>
      </c>
      <c r="G7" s="4">
        <v>1</v>
      </c>
      <c r="H7" s="1"/>
      <c r="I7" s="1" t="s">
        <v>16</v>
      </c>
      <c r="J7" s="5" t="s">
        <v>18</v>
      </c>
      <c r="K7" s="5" t="s">
        <v>18</v>
      </c>
      <c r="L7" s="5" t="s">
        <v>19</v>
      </c>
      <c r="M7" s="10"/>
    </row>
    <row r="8" ht="26" spans="1:13">
      <c r="A8" s="3">
        <f t="shared" si="0"/>
        <v>70</v>
      </c>
      <c r="B8" s="4" t="s">
        <v>28</v>
      </c>
      <c r="C8" s="4" t="s">
        <v>29</v>
      </c>
      <c r="D8" s="4" t="s">
        <v>30</v>
      </c>
      <c r="E8" s="4">
        <v>1</v>
      </c>
      <c r="F8" s="6" t="s">
        <v>15</v>
      </c>
      <c r="G8" s="4">
        <v>1</v>
      </c>
      <c r="H8" s="1"/>
      <c r="I8" s="1" t="s">
        <v>16</v>
      </c>
      <c r="J8" s="5"/>
      <c r="K8" s="5"/>
      <c r="L8" s="5"/>
      <c r="M8" s="8"/>
    </row>
    <row r="9" ht="26" spans="1:13">
      <c r="A9" s="3">
        <f t="shared" si="0"/>
        <v>80</v>
      </c>
      <c r="B9" s="4" t="s">
        <v>31</v>
      </c>
      <c r="C9" s="4" t="s">
        <v>32</v>
      </c>
      <c r="D9" s="4" t="s">
        <v>33</v>
      </c>
      <c r="E9" s="4">
        <v>1</v>
      </c>
      <c r="F9" s="6" t="s">
        <v>15</v>
      </c>
      <c r="G9" s="4">
        <v>1</v>
      </c>
      <c r="H9" s="1"/>
      <c r="I9" s="1" t="s">
        <v>16</v>
      </c>
      <c r="J9" s="5"/>
      <c r="K9" s="5"/>
      <c r="L9" s="5"/>
      <c r="M9" s="8"/>
    </row>
    <row r="10" spans="1:13">
      <c r="A10" s="3">
        <f t="shared" si="0"/>
        <v>90</v>
      </c>
      <c r="B10" s="4">
        <v>2049800014</v>
      </c>
      <c r="C10" s="5" t="s">
        <v>34</v>
      </c>
      <c r="D10" s="5" t="s">
        <v>35</v>
      </c>
      <c r="E10" s="4">
        <v>1</v>
      </c>
      <c r="F10" s="6" t="s">
        <v>15</v>
      </c>
      <c r="G10" s="4">
        <v>1</v>
      </c>
      <c r="H10" s="1"/>
      <c r="I10" s="1" t="s">
        <v>16</v>
      </c>
      <c r="J10" s="5" t="s">
        <v>18</v>
      </c>
      <c r="K10" s="5" t="s">
        <v>18</v>
      </c>
      <c r="L10" s="5" t="s">
        <v>19</v>
      </c>
      <c r="M10" s="8"/>
    </row>
    <row r="11" spans="1:13">
      <c r="A11" s="3">
        <f t="shared" si="0"/>
        <v>100</v>
      </c>
      <c r="B11" s="4">
        <v>2049800008</v>
      </c>
      <c r="C11" s="5" t="s">
        <v>36</v>
      </c>
      <c r="D11" s="5" t="s">
        <v>37</v>
      </c>
      <c r="E11" s="4">
        <v>2</v>
      </c>
      <c r="F11" s="6" t="s">
        <v>15</v>
      </c>
      <c r="G11" s="4">
        <v>2</v>
      </c>
      <c r="H11" s="1"/>
      <c r="I11" s="1" t="s">
        <v>16</v>
      </c>
      <c r="J11" s="5" t="s">
        <v>18</v>
      </c>
      <c r="K11" s="5" t="s">
        <v>18</v>
      </c>
      <c r="L11" s="5" t="s">
        <v>19</v>
      </c>
      <c r="M11" s="8"/>
    </row>
    <row r="12" spans="1:13">
      <c r="A12" s="3">
        <f t="shared" si="0"/>
        <v>110</v>
      </c>
      <c r="B12" s="4" t="s">
        <v>38</v>
      </c>
      <c r="C12" s="4" t="s">
        <v>39</v>
      </c>
      <c r="D12" s="4" t="s">
        <v>40</v>
      </c>
      <c r="E12" s="4">
        <v>1</v>
      </c>
      <c r="F12" s="6" t="s">
        <v>15</v>
      </c>
      <c r="G12" s="4">
        <v>1</v>
      </c>
      <c r="H12" s="1"/>
      <c r="I12" s="1" t="s">
        <v>16</v>
      </c>
      <c r="J12" s="5"/>
      <c r="K12" s="5"/>
      <c r="L12" s="5"/>
      <c r="M12" s="8"/>
    </row>
    <row r="13" spans="1:13">
      <c r="A13" s="3">
        <f t="shared" si="0"/>
        <v>120</v>
      </c>
      <c r="B13" s="4" t="s">
        <v>41</v>
      </c>
      <c r="C13" s="6" t="s">
        <v>42</v>
      </c>
      <c r="D13" s="6" t="s">
        <v>43</v>
      </c>
      <c r="E13" s="4">
        <v>2</v>
      </c>
      <c r="F13" s="6" t="s">
        <v>15</v>
      </c>
      <c r="G13" s="4">
        <v>2</v>
      </c>
      <c r="H13" s="1"/>
      <c r="I13" s="1" t="s">
        <v>16</v>
      </c>
      <c r="J13" s="5" t="s">
        <v>44</v>
      </c>
      <c r="K13" s="5" t="s">
        <v>45</v>
      </c>
      <c r="L13" s="5" t="s">
        <v>19</v>
      </c>
      <c r="M13" s="7"/>
    </row>
    <row r="14" spans="1:13">
      <c r="A14" s="3">
        <f t="shared" si="0"/>
        <v>130</v>
      </c>
      <c r="B14" s="4" t="s">
        <v>46</v>
      </c>
      <c r="C14" s="6" t="s">
        <v>47</v>
      </c>
      <c r="D14" s="6" t="s">
        <v>43</v>
      </c>
      <c r="E14" s="4">
        <v>1</v>
      </c>
      <c r="F14" s="6" t="s">
        <v>15</v>
      </c>
      <c r="G14" s="4">
        <v>1</v>
      </c>
      <c r="H14" s="1"/>
      <c r="I14" s="1" t="s">
        <v>16</v>
      </c>
      <c r="J14" s="5" t="s">
        <v>44</v>
      </c>
      <c r="K14" s="5" t="s">
        <v>45</v>
      </c>
      <c r="L14" s="5" t="s">
        <v>19</v>
      </c>
      <c r="M14" s="7"/>
    </row>
    <row r="15" spans="1:13">
      <c r="A15" s="3">
        <f t="shared" si="0"/>
        <v>140</v>
      </c>
      <c r="B15" s="4" t="s">
        <v>48</v>
      </c>
      <c r="C15" s="6" t="s">
        <v>49</v>
      </c>
      <c r="D15" s="6" t="s">
        <v>50</v>
      </c>
      <c r="E15" s="4">
        <v>1</v>
      </c>
      <c r="F15" s="6" t="s">
        <v>15</v>
      </c>
      <c r="G15" s="4">
        <v>1</v>
      </c>
      <c r="H15" s="1"/>
      <c r="I15" s="1" t="s">
        <v>16</v>
      </c>
      <c r="J15" s="5" t="s">
        <v>44</v>
      </c>
      <c r="K15" s="5" t="s">
        <v>45</v>
      </c>
      <c r="L15" s="5" t="s">
        <v>19</v>
      </c>
      <c r="M15" s="7"/>
    </row>
    <row r="16" spans="1:13">
      <c r="A16" s="3">
        <f t="shared" si="0"/>
        <v>150</v>
      </c>
      <c r="B16" s="4" t="s">
        <v>51</v>
      </c>
      <c r="C16" s="6" t="s">
        <v>52</v>
      </c>
      <c r="D16" s="6" t="s">
        <v>50</v>
      </c>
      <c r="E16" s="4">
        <v>2</v>
      </c>
      <c r="F16" s="6" t="s">
        <v>15</v>
      </c>
      <c r="G16" s="4">
        <v>2</v>
      </c>
      <c r="H16" s="1"/>
      <c r="I16" s="1" t="s">
        <v>16</v>
      </c>
      <c r="J16" s="5" t="s">
        <v>44</v>
      </c>
      <c r="K16" s="5" t="s">
        <v>45</v>
      </c>
      <c r="L16" s="5" t="s">
        <v>19</v>
      </c>
      <c r="M16" s="7"/>
    </row>
    <row r="17" spans="1:13">
      <c r="A17" s="3">
        <f t="shared" si="0"/>
        <v>160</v>
      </c>
      <c r="B17" s="4">
        <v>1140380214</v>
      </c>
      <c r="C17" s="6" t="s">
        <v>53</v>
      </c>
      <c r="D17" s="6" t="s">
        <v>54</v>
      </c>
      <c r="E17" s="4">
        <v>4</v>
      </c>
      <c r="F17" s="6" t="s">
        <v>15</v>
      </c>
      <c r="G17" s="4">
        <v>4</v>
      </c>
      <c r="H17" s="1"/>
      <c r="I17" s="1" t="s">
        <v>16</v>
      </c>
      <c r="J17" s="5" t="s">
        <v>55</v>
      </c>
      <c r="K17" s="5" t="s">
        <v>56</v>
      </c>
      <c r="L17" s="5" t="s">
        <v>19</v>
      </c>
      <c r="M17" s="7"/>
    </row>
    <row r="18" spans="1:13">
      <c r="A18" s="3">
        <f t="shared" si="0"/>
        <v>170</v>
      </c>
      <c r="B18" s="4" t="s">
        <v>57</v>
      </c>
      <c r="C18" s="6" t="s">
        <v>58</v>
      </c>
      <c r="D18" s="6" t="s">
        <v>59</v>
      </c>
      <c r="E18" s="4">
        <v>3</v>
      </c>
      <c r="F18" s="6" t="s">
        <v>15</v>
      </c>
      <c r="G18" s="4">
        <v>3</v>
      </c>
      <c r="H18" s="1"/>
      <c r="I18" s="1" t="s">
        <v>16</v>
      </c>
      <c r="J18" s="5" t="s">
        <v>44</v>
      </c>
      <c r="K18" s="5" t="s">
        <v>45</v>
      </c>
      <c r="L18" s="5" t="s">
        <v>19</v>
      </c>
      <c r="M18" s="7"/>
    </row>
    <row r="19" spans="1:13">
      <c r="A19" s="3">
        <f t="shared" si="0"/>
        <v>180</v>
      </c>
      <c r="B19" s="4" t="s">
        <v>60</v>
      </c>
      <c r="C19" s="6" t="s">
        <v>61</v>
      </c>
      <c r="D19" s="6" t="s">
        <v>62</v>
      </c>
      <c r="E19" s="4">
        <v>2</v>
      </c>
      <c r="F19" s="6" t="s">
        <v>15</v>
      </c>
      <c r="G19" s="4">
        <v>2</v>
      </c>
      <c r="H19" s="1"/>
      <c r="I19" s="1" t="s">
        <v>16</v>
      </c>
      <c r="J19" s="5" t="s">
        <v>18</v>
      </c>
      <c r="K19" s="5" t="s">
        <v>63</v>
      </c>
      <c r="L19" s="5" t="s">
        <v>19</v>
      </c>
      <c r="M19" s="7"/>
    </row>
    <row r="20" spans="1:13">
      <c r="A20" s="3">
        <f t="shared" si="0"/>
        <v>190</v>
      </c>
      <c r="B20" s="4" t="s">
        <v>64</v>
      </c>
      <c r="C20" s="4" t="s">
        <v>65</v>
      </c>
      <c r="D20" s="4" t="s">
        <v>66</v>
      </c>
      <c r="E20" s="4">
        <v>4</v>
      </c>
      <c r="F20" s="6" t="s">
        <v>15</v>
      </c>
      <c r="G20" s="4">
        <v>4</v>
      </c>
      <c r="H20" s="1"/>
      <c r="I20" s="1" t="s">
        <v>16</v>
      </c>
      <c r="J20" s="5"/>
      <c r="K20" s="5"/>
      <c r="L20" s="5"/>
      <c r="M20" s="7"/>
    </row>
    <row r="21" spans="1:13">
      <c r="A21" s="3">
        <f t="shared" si="0"/>
        <v>200</v>
      </c>
      <c r="B21" s="4" t="s">
        <v>67</v>
      </c>
      <c r="C21" s="4" t="s">
        <v>68</v>
      </c>
      <c r="D21" s="4" t="s">
        <v>69</v>
      </c>
      <c r="E21" s="4">
        <v>1</v>
      </c>
      <c r="F21" s="6" t="s">
        <v>15</v>
      </c>
      <c r="G21" s="4">
        <v>1</v>
      </c>
      <c r="H21" s="1"/>
      <c r="I21" s="1" t="s">
        <v>16</v>
      </c>
      <c r="J21" s="5"/>
      <c r="K21" s="5"/>
      <c r="L21" s="5"/>
      <c r="M21" s="7"/>
    </row>
    <row r="22" spans="1:13">
      <c r="A22" s="3">
        <f t="shared" si="0"/>
        <v>210</v>
      </c>
      <c r="B22" s="4" t="s">
        <v>70</v>
      </c>
      <c r="C22" s="5" t="s">
        <v>71</v>
      </c>
      <c r="D22" s="5" t="s">
        <v>72</v>
      </c>
      <c r="E22" s="4">
        <v>1</v>
      </c>
      <c r="F22" s="6" t="s">
        <v>15</v>
      </c>
      <c r="G22" s="4">
        <v>1</v>
      </c>
      <c r="H22" s="1"/>
      <c r="I22" s="1" t="s">
        <v>16</v>
      </c>
      <c r="J22" s="5" t="s">
        <v>18</v>
      </c>
      <c r="K22" s="5" t="s">
        <v>18</v>
      </c>
      <c r="L22" s="5" t="s">
        <v>19</v>
      </c>
      <c r="M22" s="7"/>
    </row>
    <row r="23" spans="1:13">
      <c r="A23" s="3">
        <f t="shared" si="0"/>
        <v>220</v>
      </c>
      <c r="B23" s="4" t="s">
        <v>73</v>
      </c>
      <c r="C23" s="5" t="s">
        <v>74</v>
      </c>
      <c r="D23" s="5" t="s">
        <v>72</v>
      </c>
      <c r="E23" s="4">
        <v>1</v>
      </c>
      <c r="F23" s="6" t="s">
        <v>15</v>
      </c>
      <c r="G23" s="4">
        <v>1</v>
      </c>
      <c r="H23" s="1"/>
      <c r="I23" s="1" t="s">
        <v>16</v>
      </c>
      <c r="J23" s="5" t="s">
        <v>18</v>
      </c>
      <c r="K23" s="5" t="s">
        <v>18</v>
      </c>
      <c r="L23" s="5" t="s">
        <v>19</v>
      </c>
      <c r="M23" s="7"/>
    </row>
  </sheetData>
  <conditionalFormatting sqref="B2:B23">
    <cfRule type="duplicateValues" dxfId="0" priority="3"/>
  </conditionalFormatting>
  <conditionalFormatting sqref="I13:I19">
    <cfRule type="expression" dxfId="1" priority="1">
      <formula>IF(I13="",IF(B13="",0,1),0)</formula>
    </cfRule>
  </conditionalFormatting>
  <conditionalFormatting sqref="I2:I12 I20:I23">
    <cfRule type="expression" dxfId="1" priority="2">
      <formula>IF(I2="",IF(B2="",0,1),0)</formula>
    </cfRule>
  </conditionalFormatting>
  <dataValidations count="1">
    <dataValidation type="list" allowBlank="1" showInputMessage="1" showErrorMessage="1" sqref="I2:I23">
      <formula1>"ASC,IVS,CMP,GET,AIR,WAI,NED,SEP,SVD,FPI,JYT,MAR,QTA,JWI,GTL,HSO,ZCT,SJL"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检测DDE L1项目交付看板 2025917100646_导出数据.xlsx</dc:title>
  <dc:subject>Export From web browser</dc:subject>
  <dc:creator>excel.wj2015.com</dc:creator>
  <cp:lastModifiedBy>JC</cp:lastModifiedBy>
  <dcterms:created xsi:type="dcterms:W3CDTF">2025-09-18T06:54:06Z</dcterms:created>
  <dcterms:modified xsi:type="dcterms:W3CDTF">2025-09-18T06:55:49Z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344A6E1E842948668607C7715EFD438F_12</vt:lpwstr>
  </property>
  <property fmtid="{D5CDD505-2E9C-101B-9397-08002B2CF9AE}" pid="3" name="KSOProductBuildVer">
    <vt:lpwstr>2052-12.1.0.22089</vt:lpwstr>
  </property>
</Properties>
</file>